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batakumi/GitHub/Sci-Tech/Circuit/"/>
    </mc:Choice>
  </mc:AlternateContent>
  <xr:revisionPtr revIDLastSave="0" documentId="13_ncr:1_{999941D0-30BF-FF43-BEAA-D9A72BD6CBFA}" xr6:coauthVersionLast="47" xr6:coauthVersionMax="47" xr10:uidLastSave="{00000000-0000-0000-0000-000000000000}"/>
  <bookViews>
    <workbookView xWindow="26060" yWindow="600" windowWidth="25140" windowHeight="28200" activeTab="1" xr2:uid="{09AFFD13-22AC-6A45-8616-800B7A426BDB}"/>
  </bookViews>
  <sheets>
    <sheet name="メイン基板" sheetId="1" r:id="rId1"/>
    <sheet name="モータードライ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2" l="1"/>
  <c r="F5" i="2"/>
  <c r="F4" i="2"/>
  <c r="F3" i="2"/>
  <c r="F2" i="2"/>
  <c r="F7" i="2" s="1"/>
  <c r="F20" i="1"/>
  <c r="F21" i="1"/>
  <c r="F22" i="1"/>
  <c r="F23" i="1"/>
  <c r="F24" i="1"/>
  <c r="F25" i="1"/>
  <c r="F26" i="1"/>
  <c r="F19" i="1"/>
  <c r="F4" i="1"/>
  <c r="F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  <c r="F27" i="1" s="1"/>
</calcChain>
</file>

<file path=xl/sharedStrings.xml><?xml version="1.0" encoding="utf-8"?>
<sst xmlns="http://schemas.openxmlformats.org/spreadsheetml/2006/main" count="72" uniqueCount="62">
  <si>
    <t>名称</t>
    <rPh sb="0" eb="2">
      <t>メイショウ</t>
    </rPh>
    <phoneticPr fontId="1"/>
  </si>
  <si>
    <t>型番</t>
    <rPh sb="0" eb="2">
      <t>カタバn</t>
    </rPh>
    <phoneticPr fontId="1"/>
  </si>
  <si>
    <t>個数</t>
    <rPh sb="0" eb="2">
      <t>コスウ</t>
    </rPh>
    <phoneticPr fontId="1"/>
  </si>
  <si>
    <t>Pch MOSFET</t>
    <phoneticPr fontId="1"/>
  </si>
  <si>
    <t>TJ60S04M3L</t>
  </si>
  <si>
    <t>抵抗入トランジスタ</t>
    <rPh sb="0" eb="3">
      <t>テイコウイリテ</t>
    </rPh>
    <phoneticPr fontId="1"/>
  </si>
  <si>
    <t xml:space="preserve"> DTC114EL-T92</t>
    <phoneticPr fontId="1"/>
  </si>
  <si>
    <t>RP2040マイコンボードキット</t>
    <phoneticPr fontId="1"/>
  </si>
  <si>
    <t>AE-RP2040</t>
    <phoneticPr fontId="1"/>
  </si>
  <si>
    <t>単価</t>
    <rPh sb="0" eb="2">
      <t>タンカ</t>
    </rPh>
    <phoneticPr fontId="1"/>
  </si>
  <si>
    <t>圧電スピーカー</t>
    <rPh sb="0" eb="2">
      <t>アツデn</t>
    </rPh>
    <phoneticPr fontId="1"/>
  </si>
  <si>
    <t>PKM13EPYH4000-A0</t>
    <phoneticPr fontId="1"/>
  </si>
  <si>
    <t>タクトスイッチ 12mm</t>
    <phoneticPr fontId="1"/>
  </si>
  <si>
    <t>TVGP01-G73BB</t>
  </si>
  <si>
    <t>電解コンデンサー 22μF16V</t>
  </si>
  <si>
    <t>16MH722MEFC5X7</t>
  </si>
  <si>
    <t>価格</t>
    <rPh sb="0" eb="2">
      <t>カカク</t>
    </rPh>
    <phoneticPr fontId="1"/>
  </si>
  <si>
    <t>電解コンデンサー100μF25V</t>
  </si>
  <si>
    <t>25PX100MEFC5X11</t>
    <phoneticPr fontId="1"/>
  </si>
  <si>
    <t>超小型スライドスイッチ</t>
  </si>
  <si>
    <t>IS-2235-G</t>
    <phoneticPr fontId="1"/>
  </si>
  <si>
    <t>分割ロングピンソケット</t>
  </si>
  <si>
    <t>FHU-1x42SG</t>
  </si>
  <si>
    <t>XHコネクター ベース付ポスト トップ型 4P</t>
  </si>
  <si>
    <t>B4B-XH-A(LF)(SN)</t>
  </si>
  <si>
    <t>B3B-XH-A(LF)(SN)</t>
    <phoneticPr fontId="1"/>
  </si>
  <si>
    <t>B2B-XH-A(LF)(SN)</t>
    <phoneticPr fontId="1"/>
  </si>
  <si>
    <t>XHコネクター ベース付ポスト トップ型 3P</t>
    <phoneticPr fontId="1"/>
  </si>
  <si>
    <t>XHコネクター ベース付ポスト トップ型 2P</t>
    <phoneticPr fontId="1"/>
  </si>
  <si>
    <t>2.5mmピッチコネクター コンタクト</t>
  </si>
  <si>
    <t>SXH-001T-P0.6C</t>
  </si>
  <si>
    <t>XHコネクター ハウジング 4P</t>
  </si>
  <si>
    <t>XHP-4</t>
  </si>
  <si>
    <t>XHコネクター ハウジング 3P</t>
    <phoneticPr fontId="1"/>
  </si>
  <si>
    <t>XHコネクター ハウジング 2P</t>
    <phoneticPr fontId="1"/>
  </si>
  <si>
    <t>XHP-3</t>
    <phoneticPr fontId="1"/>
  </si>
  <si>
    <t>XHP-2</t>
    <phoneticPr fontId="1"/>
  </si>
  <si>
    <t>カーボン抵抗(炭素皮膜抵抗) 1/4W10kΩ</t>
  </si>
  <si>
    <t>RD25S 10K</t>
  </si>
  <si>
    <t>カーボン抵抗(炭素皮膜抵抗) 1/4W1kΩ</t>
  </si>
  <si>
    <t>CF25J1KB</t>
  </si>
  <si>
    <t>積層セラミックコンデンサー 0.1μF50V</t>
  </si>
  <si>
    <t>RDER71H104K0P1H03B</t>
  </si>
  <si>
    <t>ヒューズホルダー 基板用 ミゼットタイプ</t>
  </si>
  <si>
    <t>FUC-03A</t>
  </si>
  <si>
    <t>ガラス管ヒューズ MF51NR 250V10A 20mm</t>
  </si>
  <si>
    <t>MF51NR 250V 10Sb</t>
  </si>
  <si>
    <t>ショットキーバリアダイオード 40V1A</t>
  </si>
  <si>
    <t>1N5819</t>
  </si>
  <si>
    <t>3mm砲弾型赤色LED 625nm 330mcd 70°</t>
  </si>
  <si>
    <t>OSR5JA3Z74A</t>
  </si>
  <si>
    <t>3mm砲弾型黄緑色LED 570nm 100mcd 70°</t>
  </si>
  <si>
    <t>OSG8HA3Z74A</t>
  </si>
  <si>
    <t>三端子レギュレーター 3.3V1A</t>
  </si>
  <si>
    <t>LM1117GS-3.3</t>
  </si>
  <si>
    <t>秋月電子商品コード</t>
    <rPh sb="0" eb="6">
      <t>アキ</t>
    </rPh>
    <phoneticPr fontId="1"/>
  </si>
  <si>
    <t>モータードライバー</t>
  </si>
  <si>
    <t>AM2837</t>
  </si>
  <si>
    <t>チップ積層セラミックコンデンサー 10μF16V</t>
  </si>
  <si>
    <t>GRM21BB31C106KE15</t>
    <phoneticPr fontId="1"/>
  </si>
  <si>
    <t>PH-1x40SG</t>
  </si>
  <si>
    <t>ピンヘッダー 1×40 (40P)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</si>
</sst>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A7CF-B095-6644-B8FC-0D6BD62987CE}">
  <dimension ref="A1:F27"/>
  <sheetViews>
    <sheetView workbookViewId="0">
      <selection activeCell="B47" sqref="B47"/>
    </sheetView>
  </sheetViews>
  <sheetFormatPr baseColWidth="10" defaultRowHeight="20"/>
  <cols>
    <col min="1" max="1" width="38.28515625" customWidth="1"/>
    <col min="2" max="2" width="20.85546875" customWidth="1"/>
    <col min="3" max="3" width="17.28515625" customWidth="1"/>
    <col min="4" max="4" width="5.140625" customWidth="1"/>
    <col min="5" max="5" width="5.85546875" customWidth="1"/>
    <col min="6" max="6" width="6.85546875" customWidth="1"/>
  </cols>
  <sheetData>
    <row r="1" spans="1:6">
      <c r="A1" s="1" t="s">
        <v>0</v>
      </c>
      <c r="B1" s="1" t="s">
        <v>1</v>
      </c>
      <c r="C1" s="1" t="s">
        <v>55</v>
      </c>
      <c r="D1" s="1" t="s">
        <v>2</v>
      </c>
      <c r="E1" s="1" t="s">
        <v>9</v>
      </c>
      <c r="F1" s="1" t="s">
        <v>16</v>
      </c>
    </row>
    <row r="2" spans="1:6">
      <c r="A2" t="s">
        <v>7</v>
      </c>
      <c r="B2" t="s">
        <v>8</v>
      </c>
      <c r="C2">
        <v>117542</v>
      </c>
      <c r="D2">
        <v>1</v>
      </c>
      <c r="E2">
        <v>700</v>
      </c>
      <c r="F2">
        <f t="shared" ref="F2:F19" si="0">D2*E2</f>
        <v>700</v>
      </c>
    </row>
    <row r="3" spans="1:6">
      <c r="A3" t="s">
        <v>3</v>
      </c>
      <c r="B3" t="s">
        <v>4</v>
      </c>
      <c r="C3">
        <v>116297</v>
      </c>
      <c r="D3">
        <v>1</v>
      </c>
      <c r="E3">
        <v>100</v>
      </c>
      <c r="F3">
        <f t="shared" si="0"/>
        <v>100</v>
      </c>
    </row>
    <row r="4" spans="1:6">
      <c r="A4" t="s">
        <v>5</v>
      </c>
      <c r="B4" t="s">
        <v>6</v>
      </c>
      <c r="C4">
        <v>112467</v>
      </c>
      <c r="D4">
        <v>1</v>
      </c>
      <c r="E4">
        <v>10</v>
      </c>
      <c r="F4">
        <f t="shared" si="0"/>
        <v>10</v>
      </c>
    </row>
    <row r="5" spans="1:6">
      <c r="A5" t="s">
        <v>10</v>
      </c>
      <c r="B5" t="s">
        <v>11</v>
      </c>
      <c r="C5">
        <v>104118</v>
      </c>
      <c r="D5">
        <v>1</v>
      </c>
      <c r="E5">
        <v>30</v>
      </c>
      <c r="F5">
        <f t="shared" si="0"/>
        <v>30</v>
      </c>
    </row>
    <row r="6" spans="1:6">
      <c r="A6" t="s">
        <v>12</v>
      </c>
      <c r="B6" t="s">
        <v>13</v>
      </c>
      <c r="C6">
        <v>109826</v>
      </c>
      <c r="D6">
        <v>3</v>
      </c>
      <c r="E6">
        <v>30</v>
      </c>
      <c r="F6">
        <f t="shared" si="0"/>
        <v>90</v>
      </c>
    </row>
    <row r="7" spans="1:6">
      <c r="A7" t="s">
        <v>14</v>
      </c>
      <c r="B7" t="s">
        <v>15</v>
      </c>
      <c r="C7">
        <v>110592</v>
      </c>
      <c r="D7">
        <v>2</v>
      </c>
      <c r="E7">
        <v>10</v>
      </c>
      <c r="F7">
        <f t="shared" si="0"/>
        <v>20</v>
      </c>
    </row>
    <row r="8" spans="1:6">
      <c r="A8" t="s">
        <v>17</v>
      </c>
      <c r="B8" t="s">
        <v>18</v>
      </c>
      <c r="C8">
        <v>117877</v>
      </c>
      <c r="D8">
        <v>2</v>
      </c>
      <c r="E8">
        <v>10</v>
      </c>
      <c r="F8">
        <f t="shared" si="0"/>
        <v>20</v>
      </c>
    </row>
    <row r="9" spans="1:6">
      <c r="A9" t="s">
        <v>19</v>
      </c>
      <c r="B9" t="s">
        <v>20</v>
      </c>
      <c r="C9">
        <v>102627</v>
      </c>
      <c r="D9">
        <v>1</v>
      </c>
      <c r="E9">
        <v>27.5</v>
      </c>
      <c r="F9">
        <f t="shared" si="0"/>
        <v>27.5</v>
      </c>
    </row>
    <row r="10" spans="1:6">
      <c r="A10" t="s">
        <v>21</v>
      </c>
      <c r="B10" t="s">
        <v>22</v>
      </c>
      <c r="C10">
        <v>105779</v>
      </c>
      <c r="D10">
        <v>2</v>
      </c>
      <c r="E10">
        <v>80</v>
      </c>
      <c r="F10">
        <f t="shared" si="0"/>
        <v>160</v>
      </c>
    </row>
    <row r="11" spans="1:6">
      <c r="A11" t="s">
        <v>23</v>
      </c>
      <c r="B11" t="s">
        <v>24</v>
      </c>
      <c r="C11">
        <v>112249</v>
      </c>
      <c r="D11">
        <v>5</v>
      </c>
      <c r="E11">
        <v>15</v>
      </c>
      <c r="F11">
        <f t="shared" si="0"/>
        <v>75</v>
      </c>
    </row>
    <row r="12" spans="1:6">
      <c r="A12" t="s">
        <v>27</v>
      </c>
      <c r="B12" t="s">
        <v>25</v>
      </c>
      <c r="C12">
        <v>112248</v>
      </c>
      <c r="D12">
        <v>8</v>
      </c>
      <c r="E12">
        <v>10</v>
      </c>
      <c r="F12">
        <f t="shared" si="0"/>
        <v>80</v>
      </c>
    </row>
    <row r="13" spans="1:6">
      <c r="A13" t="s">
        <v>28</v>
      </c>
      <c r="B13" t="s">
        <v>26</v>
      </c>
      <c r="C13">
        <v>112247</v>
      </c>
      <c r="D13">
        <v>3</v>
      </c>
      <c r="E13">
        <v>10</v>
      </c>
      <c r="F13">
        <f t="shared" si="0"/>
        <v>30</v>
      </c>
    </row>
    <row r="14" spans="1:6">
      <c r="A14" t="s">
        <v>29</v>
      </c>
      <c r="B14" t="s">
        <v>30</v>
      </c>
      <c r="C14">
        <v>117154</v>
      </c>
      <c r="D14">
        <v>50</v>
      </c>
      <c r="E14">
        <v>1.5</v>
      </c>
      <c r="F14">
        <f t="shared" si="0"/>
        <v>75</v>
      </c>
    </row>
    <row r="15" spans="1:6">
      <c r="A15" t="s">
        <v>31</v>
      </c>
      <c r="B15" t="s">
        <v>32</v>
      </c>
      <c r="C15">
        <v>112257</v>
      </c>
      <c r="D15">
        <v>5</v>
      </c>
      <c r="E15">
        <v>10</v>
      </c>
      <c r="F15">
        <f t="shared" si="0"/>
        <v>50</v>
      </c>
    </row>
    <row r="16" spans="1:6">
      <c r="A16" t="s">
        <v>33</v>
      </c>
      <c r="B16" t="s">
        <v>35</v>
      </c>
      <c r="C16">
        <v>112256</v>
      </c>
      <c r="D16">
        <v>8</v>
      </c>
      <c r="E16">
        <v>5</v>
      </c>
      <c r="F16">
        <f t="shared" si="0"/>
        <v>40</v>
      </c>
    </row>
    <row r="17" spans="1:6">
      <c r="A17" t="s">
        <v>34</v>
      </c>
      <c r="B17" t="s">
        <v>36</v>
      </c>
      <c r="C17">
        <v>112255</v>
      </c>
      <c r="D17">
        <v>3</v>
      </c>
      <c r="E17">
        <v>5</v>
      </c>
      <c r="F17">
        <f t="shared" si="0"/>
        <v>15</v>
      </c>
    </row>
    <row r="18" spans="1:6">
      <c r="A18" t="s">
        <v>37</v>
      </c>
      <c r="B18" t="s">
        <v>38</v>
      </c>
      <c r="C18">
        <v>125103</v>
      </c>
      <c r="D18">
        <v>9</v>
      </c>
      <c r="E18">
        <v>1</v>
      </c>
      <c r="F18">
        <f t="shared" si="0"/>
        <v>9</v>
      </c>
    </row>
    <row r="19" spans="1:6">
      <c r="A19" t="s">
        <v>39</v>
      </c>
      <c r="B19" t="s">
        <v>40</v>
      </c>
      <c r="C19">
        <v>125102</v>
      </c>
      <c r="D19">
        <v>6</v>
      </c>
      <c r="E19">
        <v>1</v>
      </c>
      <c r="F19">
        <f t="shared" si="0"/>
        <v>6</v>
      </c>
    </row>
    <row r="20" spans="1:6">
      <c r="A20" t="s">
        <v>41</v>
      </c>
      <c r="B20" t="s">
        <v>42</v>
      </c>
      <c r="C20">
        <v>113582</v>
      </c>
      <c r="D20">
        <v>5</v>
      </c>
      <c r="E20">
        <v>10</v>
      </c>
      <c r="F20">
        <f t="shared" ref="F20:F26" si="1">D20*E20</f>
        <v>50</v>
      </c>
    </row>
    <row r="21" spans="1:6">
      <c r="A21" t="s">
        <v>43</v>
      </c>
      <c r="B21" t="s">
        <v>44</v>
      </c>
      <c r="C21">
        <v>110521</v>
      </c>
      <c r="D21">
        <v>2</v>
      </c>
      <c r="E21">
        <v>20</v>
      </c>
      <c r="F21">
        <f t="shared" si="1"/>
        <v>40</v>
      </c>
    </row>
    <row r="22" spans="1:6">
      <c r="A22" t="s">
        <v>45</v>
      </c>
      <c r="B22" t="s">
        <v>46</v>
      </c>
      <c r="C22">
        <v>107132</v>
      </c>
      <c r="D22">
        <v>1</v>
      </c>
      <c r="E22">
        <v>30</v>
      </c>
      <c r="F22">
        <f t="shared" si="1"/>
        <v>30</v>
      </c>
    </row>
    <row r="23" spans="1:6">
      <c r="A23" t="s">
        <v>47</v>
      </c>
      <c r="B23" t="s">
        <v>48</v>
      </c>
      <c r="C23">
        <v>117244</v>
      </c>
      <c r="D23">
        <v>2</v>
      </c>
      <c r="E23">
        <v>10</v>
      </c>
      <c r="F23">
        <f t="shared" si="1"/>
        <v>20</v>
      </c>
    </row>
    <row r="24" spans="1:6">
      <c r="A24" t="s">
        <v>49</v>
      </c>
      <c r="B24" t="s">
        <v>50</v>
      </c>
      <c r="C24">
        <v>111577</v>
      </c>
      <c r="D24">
        <v>1</v>
      </c>
      <c r="E24">
        <v>10</v>
      </c>
      <c r="F24">
        <f t="shared" si="1"/>
        <v>10</v>
      </c>
    </row>
    <row r="25" spans="1:6">
      <c r="A25" t="s">
        <v>51</v>
      </c>
      <c r="B25" t="s">
        <v>52</v>
      </c>
      <c r="C25">
        <v>111637</v>
      </c>
      <c r="D25">
        <v>5</v>
      </c>
      <c r="E25">
        <v>10</v>
      </c>
      <c r="F25">
        <f t="shared" si="1"/>
        <v>50</v>
      </c>
    </row>
    <row r="26" spans="1:6">
      <c r="A26" t="s">
        <v>53</v>
      </c>
      <c r="B26" t="s">
        <v>54</v>
      </c>
      <c r="C26">
        <v>116989</v>
      </c>
      <c r="D26">
        <v>1</v>
      </c>
      <c r="E26">
        <v>25</v>
      </c>
      <c r="F26">
        <f t="shared" si="1"/>
        <v>25</v>
      </c>
    </row>
    <row r="27" spans="1:6">
      <c r="F27">
        <f>SUM(F2:F26)</f>
        <v>1762.5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D742-0B71-DE46-B41B-193909A15251}">
  <dimension ref="A1:F7"/>
  <sheetViews>
    <sheetView tabSelected="1" workbookViewId="0">
      <selection activeCell="F8" sqref="F8"/>
    </sheetView>
  </sheetViews>
  <sheetFormatPr baseColWidth="10" defaultRowHeight="20"/>
  <cols>
    <col min="1" max="1" width="37.28515625" customWidth="1"/>
    <col min="2" max="2" width="22.5703125" customWidth="1"/>
    <col min="3" max="3" width="19.7109375" customWidth="1"/>
    <col min="4" max="4" width="6.140625" customWidth="1"/>
    <col min="5" max="5" width="8.140625" customWidth="1"/>
    <col min="6" max="6" width="8" customWidth="1"/>
  </cols>
  <sheetData>
    <row r="1" spans="1:6">
      <c r="A1" s="1" t="s">
        <v>0</v>
      </c>
      <c r="B1" s="1" t="s">
        <v>1</v>
      </c>
      <c r="C1" s="1" t="s">
        <v>55</v>
      </c>
      <c r="D1" s="1" t="s">
        <v>2</v>
      </c>
      <c r="E1" s="1" t="s">
        <v>9</v>
      </c>
      <c r="F1" s="1" t="s">
        <v>16</v>
      </c>
    </row>
    <row r="2" spans="1:6">
      <c r="A2" t="s">
        <v>56</v>
      </c>
      <c r="B2" t="s">
        <v>57</v>
      </c>
      <c r="C2">
        <v>118300</v>
      </c>
      <c r="D2">
        <v>2</v>
      </c>
      <c r="E2">
        <v>100</v>
      </c>
      <c r="F2">
        <f>D2*E2</f>
        <v>200</v>
      </c>
    </row>
    <row r="3" spans="1:6">
      <c r="A3" t="s">
        <v>58</v>
      </c>
      <c r="B3" t="s">
        <v>59</v>
      </c>
      <c r="C3">
        <v>113782</v>
      </c>
      <c r="D3">
        <v>5</v>
      </c>
      <c r="E3">
        <v>5</v>
      </c>
      <c r="F3">
        <f>D3*E3</f>
        <v>25</v>
      </c>
    </row>
    <row r="4" spans="1:6">
      <c r="A4" t="s">
        <v>31</v>
      </c>
      <c r="B4" t="s">
        <v>32</v>
      </c>
      <c r="C4">
        <v>112257</v>
      </c>
      <c r="D4">
        <v>1</v>
      </c>
      <c r="E4">
        <v>10</v>
      </c>
      <c r="F4">
        <f>D4*E4</f>
        <v>10</v>
      </c>
    </row>
    <row r="5" spans="1:6">
      <c r="A5" t="s">
        <v>34</v>
      </c>
      <c r="B5" t="s">
        <v>36</v>
      </c>
      <c r="C5">
        <v>112255</v>
      </c>
      <c r="D5">
        <v>3</v>
      </c>
      <c r="E5">
        <v>5</v>
      </c>
      <c r="F5">
        <f>D5*E5</f>
        <v>15</v>
      </c>
    </row>
    <row r="6" spans="1:6">
      <c r="A6" t="s">
        <v>61</v>
      </c>
      <c r="B6" t="s">
        <v>60</v>
      </c>
      <c r="C6">
        <v>100167</v>
      </c>
      <c r="D6">
        <v>1</v>
      </c>
      <c r="E6">
        <v>35</v>
      </c>
      <c r="F6">
        <f>D6*E6</f>
        <v>35</v>
      </c>
    </row>
    <row r="7" spans="1:6">
      <c r="F7">
        <f>SUM(F2:F6)</f>
        <v>285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メイン基板</vt:lpstr>
      <vt:lpstr>モータードライバ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拓海(rr0173pr)</dc:creator>
  <cp:lastModifiedBy>馬場 拓海(rr0173pr)</cp:lastModifiedBy>
  <dcterms:created xsi:type="dcterms:W3CDTF">2026-07-27T05:56:07Z</dcterms:created>
  <dcterms:modified xsi:type="dcterms:W3CDTF">2026-07-27T06:57:00Z</dcterms:modified>
</cp:coreProperties>
</file>